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Financial Data" sheetId="2" state="visible" r:id="rId3"/>
    <sheet name="Dashboard" sheetId="3" state="visible" r:id="rId4"/>
    <sheet name="Analysi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<sst xmlns="http://schemas.openxmlformats.org/spreadsheetml/2006/main" count="82" uniqueCount="71">
  <si>
    <t xml:space="preserve">FINANCIAL ANALYTICS DASHBOARD</t>
  </si>
  <si>
    <t xml:space="preserve">Data Analytics Portfolio - Aobakwe Notwane</t>
  </si>
  <si>
    <t xml:space="preserve">This dashboard demonstrates proficiency in financial data analysis, visualization, and business intelligence.</t>
  </si>
  <si>
    <t xml:space="preserve">KEY PERFORMANCE INDICATORS</t>
  </si>
  <si>
    <t xml:space="preserve">Total Revenue</t>
  </si>
  <si>
    <t xml:space="preserve">Total Expenses</t>
  </si>
  <si>
    <t xml:space="preserve">Net Profit</t>
  </si>
  <si>
    <t xml:space="preserve">Profit Margin</t>
  </si>
  <si>
    <t xml:space="preserve">WORKBOOK CONTENTS</t>
  </si>
  <si>
    <t xml:space="preserve">Sheet Name</t>
  </si>
  <si>
    <t xml:space="preserve">Description</t>
  </si>
  <si>
    <t xml:space="preserve">Dashboard</t>
  </si>
  <si>
    <t xml:space="preserve">Executive summary with KPIs and visualizations</t>
  </si>
  <si>
    <t xml:space="preserve">Financial Data</t>
  </si>
  <si>
    <t xml:space="preserve">Monthly revenue, expenses, and profit data</t>
  </si>
  <si>
    <t xml:space="preserve">Analysis</t>
  </si>
  <si>
    <t xml:space="preserve">Variance analysis, trends, and insights</t>
  </si>
  <si>
    <t xml:space="preserve">Cover</t>
  </si>
  <si>
    <t xml:space="preserve">This navigation page</t>
  </si>
  <si>
    <t xml:space="preserve">Note: All financial figures are in South African Rand (ZAR). Dashboard updates automatically when data changes.</t>
  </si>
  <si>
    <t xml:space="preserve">MONTHLY FINANCIAL DATA</t>
  </si>
  <si>
    <t xml:space="preserve">Month</t>
  </si>
  <si>
    <t xml:space="preserve">Revenue (ZAR)</t>
  </si>
  <si>
    <t xml:space="preserve">COGS (ZAR)</t>
  </si>
  <si>
    <t xml:space="preserve">Operating Expenses (ZAR)</t>
  </si>
  <si>
    <t xml:space="preserve">Gross Profit (ZAR)</t>
  </si>
  <si>
    <t xml:space="preserve">Net Profit (ZAR)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</si>
  <si>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</si>
  <si>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</si>
  <si>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</si>
  <si>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</si>
  <si>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</si>
  <si>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</si>
  <si>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</si>
  <si>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</si>
  <si>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</si>
  <si>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</si>
  <si>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</si>
  <si>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</si>
  <si>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TOTAL</t>
  </si>
  <si>
    <t xml:space="preserve">AVERAGE</t>
  </si>
  <si>
    <t xml:space="preserve">EXECUTIVE DASHBOARD</t>
  </si>
  <si>
    <t xml:space="preserve">KEY METRICS</t>
  </si>
  <si>
    <t xml:space="preserve">EXPENSE BREAKDOWN</t>
  </si>
  <si>
    <t xml:space="preserve">Cost of Goods Sold</t>
  </si>
  <si>
    <t xml:space="preserve">Operating Expenses</t>
  </si>
  <si>
    <t xml:space="preserve">Gross Profit Margin</t>
  </si>
  <si>
    <t xml:space="preserve">Avg Monthly Revenue</t>
  </si>
  <si>
    <t xml:space="preserve">Expense Category</t>
  </si>
  <si>
    <t xml:space="preserve">Amount (ZAR)</t>
  </si>
  <si>
    <t xml:space="preserve">COGS</t>
  </si>
  <si>
    <t xml:space="preserve">FINANCIAL ANALYSIS &amp; INSIGHTS</t>
  </si>
  <si>
    <t xml:space="preserve">MONTHLY PERFORMANCE ANALYSIS</t>
  </si>
  <si>
    <t xml:space="preserve">Revenue</t>
  </si>
  <si>
    <t xml:space="preserve">MoM Growth</t>
  </si>
  <si>
    <t xml:space="preserve">Performance</t>
  </si>
  <si>
    <t xml:space="preserve">N/A</t>
  </si>
  <si>
    <t xml:space="preserve">KEY INSIGHTS &amp; FINDINGS</t>
  </si>
  <si>
    <t xml:space="preserve">Highest Revenue Month</t>
  </si>
  <si>
    <t xml:space="preserve">Highest Revenue Amount</t>
  </si>
  <si>
    <t xml:space="preserve">Lowest Revenue Month</t>
  </si>
  <si>
    <t xml:space="preserve">Lowest Revenue Amount</t>
  </si>
  <si>
    <t xml:space="preserve">Average Monthly Growth</t>
  </si>
  <si>
    <t xml:space="preserve">Best Profit Margin</t>
  </si>
  <si>
    <t xml:space="preserve">SUMMARY STATISTICS</t>
  </si>
  <si>
    <t xml:space="preserve">Metric</t>
  </si>
  <si>
    <t xml:space="preserve">Value</t>
  </si>
  <si>
    <t xml:space="preserve">Total Net Profit</t>
  </si>
  <si>
    <t xml:space="preserve">Average Monthly Revenue</t>
  </si>
  <si>
    <t xml:space="preserve">Revenue Std Deviation</t>
  </si>
  <si>
    <t xml:space="preserve">Overall Profit Margin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</si>
</sst>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\%"/>
    <numFmt numFmtId="167" formatCode="0.0%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1F4E79"/>
      <name val="Calibri"/>
      <family val="0"/>
      <charset val="1"/>
    </font>
    <font>
      <sz val="14"/>
      <color rgb="FF666666"/>
      <name val="Calibri"/>
      <family val="0"/>
      <charset val="1"/>
    </font>
    <font>
      <sz val="11"/>
      <color rgb="FF444444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8"/>
      <color rgb="FF1F4E79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9"/>
      <name val="Cambria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6"/>
      <color rgb="FF1F4E79"/>
      <name val="Calibri"/>
      <family val="0"/>
      <charset val="1"/>
    </font>
    <font>
      <b val="true"/>
      <sz val="11"/>
      <name val="Cambria"/>
      <family val="0"/>
      <charset val="1"/>
    </font>
    <font>
      <sz val="11"/>
      <color rgb="FF0066CC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1F4E79"/>
      <name val="Calibri"/>
      <family val="0"/>
      <charset val="1"/>
    </font>
    <font>
      <b val="true"/>
      <sz val="11"/>
      <color rgb="FF1F4E79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6E3F0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3E0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78787"/>
      <rgbColor rgb="FF9999FF"/>
      <rgbColor rgb="FFC0504D"/>
      <rgbColor rgb="FFFFF3E0"/>
      <rgbColor rgb="FFD6E3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70AD47"/>
      <rgbColor rgb="FFFFCC00"/>
      <rgbColor rgb="FFFF9900"/>
      <rgbColor rgb="FFFF6600"/>
      <rgbColor rgb="FF666666"/>
      <rgbColor rgb="FF888888"/>
      <rgbColor rgb="FF003366"/>
      <rgbColor rgb="FF4F81BD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Net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'Financial Data'!C4</c:f>
              <c:strCache>
                <c:ptCount val="1"/>
                <c:pt idx="0">
                  <c:v>Revenue (ZAR)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Data'!$B$5:$B$16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'Financial Data'!$C$5:$C$16</c:f>
              <c:numCache>
                <c:formatCode>General</c:formatCode>
                <c:ptCount val="12"/>
                <c:pt idx="0">
                  <c:v>485000</c:v>
                </c:pt>
                <c:pt idx="1">
                  <c:v>520000</c:v>
                </c:pt>
                <c:pt idx="2">
                  <c:v>495000</c:v>
                </c:pt>
                <c:pt idx="3">
                  <c:v>580000</c:v>
                </c:pt>
                <c:pt idx="4">
                  <c:v>610000</c:v>
                </c:pt>
                <c:pt idx="5">
                  <c:v>645000</c:v>
                </c:pt>
                <c:pt idx="6">
                  <c:v>625000</c:v>
                </c:pt>
                <c:pt idx="7">
                  <c:v>670000</c:v>
                </c:pt>
                <c:pt idx="8">
                  <c:v>695000</c:v>
                </c:pt>
                <c:pt idx="9">
                  <c:v>720000</c:v>
                </c:pt>
                <c:pt idx="10">
                  <c:v>750000</c:v>
                </c:pt>
                <c:pt idx="11">
                  <c:v>820000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'Financial Data'!G4</c:f>
              <c:strCache>
                <c:ptCount val="1"/>
                <c:pt idx="0">
                  <c:v>Net Profit (ZAR)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'Financial Data'!$B$5:$B$16</c:f>
              <c:strCache>
                <c:ptCount val="12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</c:strCache>
            </c:strRef>
          </c:cat>
          <c:val>
            <c:numRef>
              <c:f>'Financial Data'!$G$5:$G$16</c:f>
              <c:numCache>
                <c:formatCode>General</c:formatCode>
                <c:ptCount val="12"/>
                <c:pt idx="0">
                  <c:v>109000</c:v>
                </c:pt>
                <c:pt idx="1">
                  <c:v>120000</c:v>
                </c:pt>
                <c:pt idx="2">
                  <c:v>112000</c:v>
                </c:pt>
                <c:pt idx="3">
                  <c:v>140000</c:v>
                </c:pt>
                <c:pt idx="4">
                  <c:v>149000</c:v>
                </c:pt>
                <c:pt idx="5">
                  <c:v>160000</c:v>
                </c:pt>
                <c:pt idx="6">
                  <c:v>154000</c:v>
                </c:pt>
                <c:pt idx="7">
                  <c:v>166000</c:v>
                </c:pt>
                <c:pt idx="8">
                  <c:v>173000</c:v>
                </c:pt>
                <c:pt idx="9">
                  <c:v>180000</c:v>
                </c:pt>
                <c:pt idx="10">
                  <c:v>188000</c:v>
                </c:pt>
                <c:pt idx="11">
                  <c:v>203000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9058267"/>
        <c:axId val="27900330"/>
      </c:lineChart>
      <c:catAx>
        <c:axId val="490582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00330"/>
        <c:crosses val="autoZero"/>
        <c:auto val="1"/>
        <c:lblAlgn val="ctr"/>
        <c:lblOffset val="100"/>
        <c:noMultiLvlLbl val="0"/>
      </c:catAx>
      <c:valAx>
        <c:axId val="27900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(ZAR)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582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Composition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Dashboard!F13</c:f>
              <c:strCache>
                <c:ptCount val="1"/>
                <c:pt idx="0">
                  <c:v>Amount (ZAR)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Dashboard!$E$14:$E$15</c:f>
              <c:strCache>
                <c:ptCount val="2"/>
                <c:pt idx="0">
                  <c:v>COGS</c:v>
                </c:pt>
                <c:pt idx="1">
                  <c:v>Operating Expenses</c:v>
                </c:pt>
              </c:strCache>
            </c:strRef>
          </c:cat>
          <c:val>
            <c:numRef>
              <c:f>Dashboard!$F$14:$F$15</c:f>
              <c:numCache>
                <c:formatCode>General</c:formatCode>
                <c:ptCount val="2"/>
                <c:pt idx="0">
                  <c:v>4569000</c:v>
                </c:pt>
                <c:pt idx="1">
                  <c:v>1192000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8</xdr:col>
      <xdr:colOff>408240</xdr:colOff>
      <xdr:row>30</xdr:row>
      <xdr:rowOff>170640</xdr:rowOff>
    </xdr:to>
    <xdr:graphicFrame>
      <xdr:nvGraphicFramePr>
        <xdr:cNvPr id="0" name="Chart 1"/>
        <xdr:cNvGraphicFramePr/>
      </xdr:nvGraphicFramePr>
      <xdr:xfrm>
        <a:off x="211320" y="247644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8</xdr:col>
      <xdr:colOff>418320</xdr:colOff>
      <xdr:row>34</xdr:row>
      <xdr:rowOff>170640</xdr:rowOff>
    </xdr:to>
    <xdr:graphicFrame>
      <xdr:nvGraphicFramePr>
        <xdr:cNvPr id="1" name="Chart 2"/>
        <xdr:cNvGraphicFramePr/>
      </xdr:nvGraphicFramePr>
      <xdr:xfrm>
        <a:off x="3101400" y="323856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7" customFormat="false" ht="24.75" hidden="false" customHeight="true" outlineLevel="0" collapsed="false">
      <c r="B7" s="4" t="s">
        <v>3</v>
      </c>
      <c r="C7" s="4"/>
      <c r="D7" s="4"/>
      <c r="E7" s="4"/>
      <c r="F7" s="4"/>
      <c r="G7" s="4"/>
      <c r="H7" s="4"/>
    </row>
    <row r="9" customFormat="false" ht="34.5" hidden="false" customHeight="true" outlineLevel="0" collapsed="false">
      <c r="B9" s="5" t="n">
        <f aca="false">Dashboard!C3</f>
        <v>0</v>
      </c>
      <c r="C9" s="5"/>
      <c r="D9" s="5" t="n">
        <f aca="false">Dashboard!C4</f>
        <v>0</v>
      </c>
      <c r="E9" s="5"/>
      <c r="F9" s="5" t="n">
        <f aca="false">Dashboard!C5</f>
        <v>7615000</v>
      </c>
      <c r="G9" s="5"/>
      <c r="H9" s="5" t="n">
        <f aca="false">Dashboard!C6</f>
        <v>5761000</v>
      </c>
      <c r="I9" s="5"/>
    </row>
    <row r="10" customFormat="false" ht="15" hidden="false" customHeight="false" outlineLevel="0" collapsed="false">
      <c r="B10" s="6" t="s">
        <v>4</v>
      </c>
      <c r="C10" s="6"/>
      <c r="D10" s="6" t="s">
        <v>5</v>
      </c>
      <c r="E10" s="6"/>
      <c r="F10" s="6" t="s">
        <v>6</v>
      </c>
      <c r="G10" s="6"/>
      <c r="H10" s="6" t="s">
        <v>7</v>
      </c>
      <c r="I10" s="6"/>
    </row>
    <row r="15" customFormat="false" ht="24.75" hidden="false" customHeight="true" outlineLevel="0" collapsed="false">
      <c r="B15" s="4" t="s">
        <v>8</v>
      </c>
      <c r="C15" s="4"/>
      <c r="D15" s="4"/>
      <c r="E15" s="4"/>
      <c r="F15" s="4"/>
      <c r="G15" s="4"/>
      <c r="H15" s="4"/>
    </row>
    <row r="17" customFormat="false" ht="15" hidden="false" customHeight="false" outlineLevel="0" collapsed="false">
      <c r="B17" s="7" t="s">
        <v>9</v>
      </c>
      <c r="C17" s="7" t="s">
        <v>10</v>
      </c>
    </row>
    <row r="18" customFormat="false" ht="15" hidden="false" customHeight="false" outlineLevel="0" collapsed="false">
      <c r="B18" s="8" t="s">
        <v>11</v>
      </c>
      <c r="C18" s="9" t="s">
        <v>12</v>
      </c>
      <c r="D18" s="9"/>
      <c r="E18" s="9"/>
      <c r="F18" s="9"/>
      <c r="G18" s="9"/>
      <c r="H18" s="9"/>
    </row>
    <row r="19" customFormat="false" ht="15" hidden="false" customHeight="false" outlineLevel="0" collapsed="false">
      <c r="B19" s="8" t="s">
        <v>13</v>
      </c>
      <c r="C19" s="9" t="s">
        <v>14</v>
      </c>
      <c r="D19" s="9"/>
      <c r="E19" s="9"/>
      <c r="F19" s="9"/>
      <c r="G19" s="9"/>
      <c r="H19" s="9"/>
    </row>
    <row r="20" customFormat="false" ht="15" hidden="false" customHeight="false" outlineLevel="0" collapsed="false">
      <c r="B20" s="8" t="s">
        <v>15</v>
      </c>
      <c r="C20" s="9" t="s">
        <v>16</v>
      </c>
      <c r="D20" s="9"/>
      <c r="E20" s="9"/>
      <c r="F20" s="9"/>
      <c r="G20" s="9"/>
      <c r="H20" s="9"/>
    </row>
    <row r="21" customFormat="false" ht="15" hidden="false" customHeight="false" outlineLevel="0" collapsed="false">
      <c r="B21" s="8" t="s">
        <v>17</v>
      </c>
      <c r="C21" s="9" t="s">
        <v>18</v>
      </c>
      <c r="D21" s="9"/>
      <c r="E21" s="9"/>
      <c r="F21" s="9"/>
      <c r="G21" s="9"/>
      <c r="H21" s="9"/>
    </row>
    <row r="24" customFormat="false" ht="15" hidden="false" customHeight="false" outlineLevel="0" collapsed="false">
      <c r="B24" s="10" t="s">
        <v>19</v>
      </c>
      <c r="C24" s="10"/>
      <c r="D24" s="10"/>
      <c r="E24" s="10"/>
      <c r="F24" s="10"/>
      <c r="G24" s="10"/>
      <c r="H24" s="10"/>
    </row>
  </sheetData>
  <mergeCells count="18">
    <mergeCell ref="B2:H2"/>
    <mergeCell ref="B3:H3"/>
    <mergeCell ref="B5:H5"/>
    <mergeCell ref="B7:H7"/>
    <mergeCell ref="B9:C9"/>
    <mergeCell ref="D9:E9"/>
    <mergeCell ref="F9:G9"/>
    <mergeCell ref="H9:I9"/>
    <mergeCell ref="B10:C10"/>
    <mergeCell ref="D10:E10"/>
    <mergeCell ref="F10:G10"/>
    <mergeCell ref="H10:I10"/>
    <mergeCell ref="B15:H15"/>
    <mergeCell ref="C18:H18"/>
    <mergeCell ref="C19:H19"/>
    <mergeCell ref="C20:H20"/>
    <mergeCell ref="C21:H21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7" min="3" style="0" width="18"/>
  </cols>
  <sheetData>
    <row r="2" customFormat="false" ht="30" hidden="false" customHeight="true" outlineLevel="0" collapsed="false">
      <c r="B2" s="11" t="s">
        <v>20</v>
      </c>
      <c r="C2" s="11"/>
      <c r="D2" s="11"/>
      <c r="E2" s="11"/>
      <c r="F2" s="11"/>
      <c r="G2" s="11"/>
    </row>
    <row r="4" customFormat="false" ht="34.5" hidden="false" customHeight="true" outlineLevel="0" collapsed="false"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</row>
    <row r="5" customFormat="false" ht="15" hidden="false" customHeight="false" outlineLevel="0" collapsed="false">
      <c r="B5" s="13" t="s">
        <v>27</v>
      </c>
      <c r="C5" s="14" t="n">
        <v>485000</v>
      </c>
      <c r="D5" s="14" t="n">
        <v>291000</v>
      </c>
      <c r="E5" s="14" t="n">
        <v>85000</v>
      </c>
      <c r="F5" s="15" t="n">
        <f aca="false">C5-D5</f>
        <v>194000</v>
      </c>
      <c r="G5" s="15" t="n">
        <f aca="false">F5-E5</f>
        <v>109000</v>
      </c>
    </row>
    <row r="6" customFormat="false" ht="15" hidden="false" customHeight="false" outlineLevel="0" collapsed="false">
      <c r="B6" s="13" t="s">
        <v>28</v>
      </c>
      <c r="C6" s="14" t="n">
        <v>520000</v>
      </c>
      <c r="D6" s="14" t="n">
        <v>312000</v>
      </c>
      <c r="E6" s="14" t="n">
        <v>88000</v>
      </c>
      <c r="F6" s="15" t="n">
        <f aca="false">C6-D6</f>
        <v>208000</v>
      </c>
      <c r="G6" s="15" t="n">
        <f aca="false">F6-E6</f>
        <v>120000</v>
      </c>
    </row>
    <row r="7" customFormat="false" ht="15" hidden="false" customHeight="false" outlineLevel="0" collapsed="false">
      <c r="B7" s="13" t="s">
        <v>29</v>
      </c>
      <c r="C7" s="14" t="n">
        <v>495000</v>
      </c>
      <c r="D7" s="14" t="n">
        <v>297000</v>
      </c>
      <c r="E7" s="14" t="n">
        <v>86000</v>
      </c>
      <c r="F7" s="15" t="n">
        <f aca="false">C7-D7</f>
        <v>198000</v>
      </c>
      <c r="G7" s="15" t="n">
        <f aca="false">F7-E7</f>
        <v>112000</v>
      </c>
    </row>
    <row r="8" customFormat="false" ht="15" hidden="false" customHeight="false" outlineLevel="0" collapsed="false">
      <c r="B8" s="13" t="s">
        <v>30</v>
      </c>
      <c r="C8" s="14" t="n">
        <v>580000</v>
      </c>
      <c r="D8" s="14" t="n">
        <v>348000</v>
      </c>
      <c r="E8" s="14" t="n">
        <v>92000</v>
      </c>
      <c r="F8" s="15" t="n">
        <f aca="false">C8-D8</f>
        <v>232000</v>
      </c>
      <c r="G8" s="15" t="n">
        <f aca="false">F8-E8</f>
        <v>140000</v>
      </c>
    </row>
    <row r="9" customFormat="false" ht="15" hidden="false" customHeight="false" outlineLevel="0" collapsed="false">
      <c r="B9" s="13" t="s">
        <v>31</v>
      </c>
      <c r="C9" s="14" t="n">
        <v>610000</v>
      </c>
      <c r="D9" s="14" t="n">
        <v>366000</v>
      </c>
      <c r="E9" s="14" t="n">
        <v>95000</v>
      </c>
      <c r="F9" s="15" t="n">
        <f aca="false">C9-D9</f>
        <v>244000</v>
      </c>
      <c r="G9" s="15" t="n">
        <f aca="false">F9-E9</f>
        <v>149000</v>
      </c>
    </row>
    <row r="10" customFormat="false" ht="15" hidden="false" customHeight="false" outlineLevel="0" collapsed="false">
      <c r="B10" s="13" t="s">
        <v>32</v>
      </c>
      <c r="C10" s="14" t="n">
        <v>645000</v>
      </c>
      <c r="D10" s="14" t="n">
        <v>387000</v>
      </c>
      <c r="E10" s="14" t="n">
        <v>98000</v>
      </c>
      <c r="F10" s="15" t="n">
        <f aca="false">C10-D10</f>
        <v>258000</v>
      </c>
      <c r="G10" s="15" t="n">
        <f aca="false">F10-E10</f>
        <v>160000</v>
      </c>
    </row>
    <row r="11" customFormat="false" ht="15" hidden="false" customHeight="false" outlineLevel="0" collapsed="false">
      <c r="B11" s="13" t="s">
        <v>33</v>
      </c>
      <c r="C11" s="14" t="n">
        <v>625000</v>
      </c>
      <c r="D11" s="14" t="n">
        <v>375000</v>
      </c>
      <c r="E11" s="14" t="n">
        <v>96000</v>
      </c>
      <c r="F11" s="15" t="n">
        <f aca="false">C11-D11</f>
        <v>250000</v>
      </c>
      <c r="G11" s="15" t="n">
        <f aca="false">F11-E11</f>
        <v>154000</v>
      </c>
    </row>
    <row r="12" customFormat="false" ht="15" hidden="false" customHeight="false" outlineLevel="0" collapsed="false">
      <c r="B12" s="13" t="s">
        <v>34</v>
      </c>
      <c r="C12" s="14" t="n">
        <v>670000</v>
      </c>
      <c r="D12" s="14" t="n">
        <v>402000</v>
      </c>
      <c r="E12" s="14" t="n">
        <v>102000</v>
      </c>
      <c r="F12" s="15" t="n">
        <f aca="false">C12-D12</f>
        <v>268000</v>
      </c>
      <c r="G12" s="15" t="n">
        <f aca="false">F12-E12</f>
        <v>166000</v>
      </c>
    </row>
    <row r="13" customFormat="false" ht="15" hidden="false" customHeight="false" outlineLevel="0" collapsed="false">
      <c r="B13" s="13" t="s">
        <v>35</v>
      </c>
      <c r="C13" s="14" t="n">
        <v>695000</v>
      </c>
      <c r="D13" s="14" t="n">
        <v>417000</v>
      </c>
      <c r="E13" s="14" t="n">
        <v>105000</v>
      </c>
      <c r="F13" s="15" t="n">
        <f aca="false">C13-D13</f>
        <v>278000</v>
      </c>
      <c r="G13" s="15" t="n">
        <f aca="false">F13-E13</f>
        <v>173000</v>
      </c>
    </row>
    <row r="14" customFormat="false" ht="15" hidden="false" customHeight="false" outlineLevel="0" collapsed="false">
      <c r="B14" s="13" t="s">
        <v>36</v>
      </c>
      <c r="C14" s="14" t="n">
        <v>720000</v>
      </c>
      <c r="D14" s="14" t="n">
        <v>432000</v>
      </c>
      <c r="E14" s="14" t="n">
        <v>108000</v>
      </c>
      <c r="F14" s="15" t="n">
        <f aca="false">C14-D14</f>
        <v>288000</v>
      </c>
      <c r="G14" s="15" t="n">
        <f aca="false">F14-E14</f>
        <v>180000</v>
      </c>
    </row>
    <row r="15" customFormat="false" ht="15" hidden="false" customHeight="false" outlineLevel="0" collapsed="false">
      <c r="B15" s="13" t="s">
        <v>37</v>
      </c>
      <c r="C15" s="14" t="n">
        <v>750000</v>
      </c>
      <c r="D15" s="14" t="n">
        <v>450000</v>
      </c>
      <c r="E15" s="14" t="n">
        <v>112000</v>
      </c>
      <c r="F15" s="15" t="n">
        <f aca="false">C15-D15</f>
        <v>300000</v>
      </c>
      <c r="G15" s="15" t="n">
        <f aca="false">F15-E15</f>
        <v>188000</v>
      </c>
    </row>
    <row r="16" customFormat="false" ht="15" hidden="false" customHeight="false" outlineLevel="0" collapsed="false">
      <c r="B16" s="13" t="s">
        <v>38</v>
      </c>
      <c r="C16" s="14" t="n">
        <v>820000</v>
      </c>
      <c r="D16" s="14" t="n">
        <v>492000</v>
      </c>
      <c r="E16" s="14" t="n">
        <v>125000</v>
      </c>
      <c r="F16" s="15" t="n">
        <f aca="false">C16-D16</f>
        <v>328000</v>
      </c>
      <c r="G16" s="15" t="n">
        <f aca="false">F16-E16</f>
        <v>203000</v>
      </c>
    </row>
    <row r="17" customFormat="false" ht="15" hidden="false" customHeight="false" outlineLevel="0" collapsed="false">
      <c r="B17" s="16" t="s">
        <v>39</v>
      </c>
      <c r="C17" s="17" t="n">
        <f aca="false">SUM(C5:C16)</f>
        <v>7615000</v>
      </c>
      <c r="D17" s="17" t="n">
        <f aca="false">SUM(D5:D16)</f>
        <v>4569000</v>
      </c>
      <c r="E17" s="17" t="n">
        <f aca="false">SUM(E5:E16)</f>
        <v>1192000</v>
      </c>
      <c r="F17" s="17" t="n">
        <f aca="false">SUM(F5:F16)</f>
        <v>3046000</v>
      </c>
      <c r="G17" s="17" t="n">
        <f aca="false">SUM(G5:G16)</f>
        <v>1854000</v>
      </c>
    </row>
    <row r="18" customFormat="false" ht="15" hidden="false" customHeight="false" outlineLevel="0" collapsed="false">
      <c r="B18" s="18" t="s">
        <v>40</v>
      </c>
      <c r="C18" s="19" t="n">
        <f aca="false">AVERAGE(C5:C16)</f>
        <v>634583.333333333</v>
      </c>
      <c r="D18" s="19" t="n">
        <f aca="false">AVERAGE(D5:D16)</f>
        <v>380750</v>
      </c>
      <c r="E18" s="19" t="n">
        <f aca="false">AVERAGE(E5:E16)</f>
        <v>99333.3333333333</v>
      </c>
      <c r="F18" s="19" t="n">
        <f aca="false">AVERAGE(F5:F16)</f>
        <v>253833.333333333</v>
      </c>
      <c r="G18" s="19" t="n">
        <f aca="false">AVERAGE(G5:G16)</f>
        <v>154500</v>
      </c>
    </row>
  </sheetData>
  <mergeCells count="1">
    <mergeCell ref="B2:G2"/>
  </mergeCells>
  <conditionalFormatting sqref="C5:C16">
    <cfRule type="dataBar" priority="2">
      <dataBar showValue="1" minLength="10" maxLength="90">
        <cfvo type="min" val="0"/>
        <cfvo type="max" val="0"/>
        <color rgb="FF2E75B6"/>
      </dataBar>
      <extLst>
        <ext xmlns:x14="http://schemas.microsoft.com/office/spreadsheetml/2009/9/main" uri="{B025F937-C7B1-47D3-B67F-A62EFF666E3E}">
          <x14:id>{D528DCDD-8DE0-4DB0-9C98-939039F3D27D}</x14:id>
        </ext>
      </extLst>
    </cfRule>
  </conditionalFormatting>
  <conditionalFormatting sqref="G5:G16">
    <cfRule type="dataBar" priority="3">
      <dataBar showValue="1" minLength="10" maxLength="90">
        <cfvo type="min" val="0"/>
        <cfvo type="max" val="0"/>
        <color rgb="FF70AD47"/>
      </dataBar>
      <extLst>
        <ext xmlns:x14="http://schemas.microsoft.com/office/spreadsheetml/2009/9/main" uri="{B025F937-C7B1-47D3-B67F-A62EFF666E3E}">
          <x14:id>{82F5BAF6-356B-486C-B656-CC14E88876BA}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28DCDD-8DE0-4DB0-9C98-939039F3D27D}">
            <x14:dataBar minLength="10" maxLength="90" axisPosition="none" gradient="true">
              <x14:cfvo type="min"/>
              <x14:cfvo type="max"/>
              <x14:negativeFillColor rgb="FF2E75B6"/>
              <x14:axisColor rgb="FF000000"/>
            </x14:dataBar>
          </x14:cfRule>
          <xm:sqref>C5:C16</xm:sqref>
        </x14:conditionalFormatting>
        <x14:conditionalFormatting xmlns:xm="http://schemas.microsoft.com/office/excel/2006/main">
          <x14:cfRule type="dataBar" id="{82F5BAF6-356B-486C-B656-CC14E88876BA}">
            <x14:dataBar minLength="10" maxLength="90" axisPosition="none" gradient="true">
              <x14:cfvo type="min"/>
              <x14:cfvo type="max"/>
              <x14:negativeFillColor rgb="FF70AD47"/>
              <x14:axisColor rgb="FF000000"/>
            </x14:dataBar>
          </x14:cfRule>
          <xm:sqref>G5:G16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6" min="6" style="0" width="18"/>
  </cols>
  <sheetData>
    <row r="2" customFormat="false" ht="30" hidden="false" customHeight="true" outlineLevel="0" collapsed="false">
      <c r="B2" s="20" t="s">
        <v>41</v>
      </c>
      <c r="C2" s="20"/>
      <c r="D2" s="20"/>
      <c r="E2" s="20"/>
      <c r="F2" s="20"/>
    </row>
    <row r="4" customFormat="false" ht="15" hidden="false" customHeight="false" outlineLevel="0" collapsed="false">
      <c r="B4" s="21" t="s">
        <v>42</v>
      </c>
      <c r="C4" s="21"/>
      <c r="E4" s="21" t="s">
        <v>43</v>
      </c>
      <c r="F4" s="21"/>
    </row>
    <row r="5" customFormat="false" ht="15" hidden="false" customHeight="false" outlineLevel="0" collapsed="false">
      <c r="B5" s="22" t="s">
        <v>4</v>
      </c>
      <c r="C5" s="23" t="n">
        <f aca="false">SUM('Financial Data'!C5:C16)</f>
        <v>7615000</v>
      </c>
      <c r="E5" s="22" t="s">
        <v>44</v>
      </c>
      <c r="F5" s="24" t="n">
        <f aca="false">SUM('Financial Data'!D5:D16)</f>
        <v>4569000</v>
      </c>
    </row>
    <row r="6" customFormat="false" ht="15" hidden="false" customHeight="false" outlineLevel="0" collapsed="false">
      <c r="B6" s="22" t="s">
        <v>5</v>
      </c>
      <c r="C6" s="23" t="n">
        <f aca="false">SUM('Financial Data'!D5:D16)+SUM('Financial Data'!E5:E16)</f>
        <v>5761000</v>
      </c>
      <c r="E6" s="22" t="s">
        <v>45</v>
      </c>
      <c r="F6" s="24" t="n">
        <f aca="false">SUM('Financial Data'!E5:E16)</f>
        <v>1192000</v>
      </c>
    </row>
    <row r="7" customFormat="false" ht="15" hidden="false" customHeight="false" outlineLevel="0" collapsed="false">
      <c r="B7" s="22" t="s">
        <v>6</v>
      </c>
      <c r="C7" s="23" t="n">
        <f aca="false">SUM('Financial Data'!G5:G16)</f>
        <v>1854000</v>
      </c>
      <c r="E7" s="25" t="s">
        <v>5</v>
      </c>
      <c r="F7" s="26" t="n">
        <f aca="false">F5+F6</f>
        <v>5761000</v>
      </c>
    </row>
    <row r="8" customFormat="false" ht="15" hidden="false" customHeight="false" outlineLevel="0" collapsed="false">
      <c r="B8" s="22" t="s">
        <v>7</v>
      </c>
      <c r="C8" s="27" t="n">
        <f aca="false">C5/(SUM('Financial Data'!C5:C16)/100)</f>
        <v>100</v>
      </c>
    </row>
    <row r="9" customFormat="false" ht="15" hidden="false" customHeight="false" outlineLevel="0" collapsed="false">
      <c r="B9" s="22" t="s">
        <v>46</v>
      </c>
      <c r="C9" s="27" t="n">
        <f aca="false">SUM('Financial Data'!F5:F16)/SUM('Financial Data'!C5:C16)*100</f>
        <v>40</v>
      </c>
    </row>
    <row r="10" customFormat="false" ht="15" hidden="false" customHeight="false" outlineLevel="0" collapsed="false">
      <c r="B10" s="22" t="s">
        <v>47</v>
      </c>
      <c r="C10" s="23" t="n">
        <f aca="false">AVERAGE('Financial Data'!C5:C16)</f>
        <v>634583.333333333</v>
      </c>
    </row>
    <row r="13" customFormat="false" ht="15" hidden="false" customHeight="false" outlineLevel="0" collapsed="false">
      <c r="E13" s="7" t="s">
        <v>48</v>
      </c>
      <c r="F13" s="7" t="s">
        <v>49</v>
      </c>
    </row>
    <row r="14" customFormat="false" ht="15" hidden="false" customHeight="false" outlineLevel="0" collapsed="false">
      <c r="E14" s="28" t="s">
        <v>50</v>
      </c>
      <c r="F14" s="29" t="n">
        <f aca="false">SUM('Financial Data'!D5:D16)</f>
        <v>4569000</v>
      </c>
    </row>
    <row r="15" customFormat="false" ht="15" hidden="false" customHeight="false" outlineLevel="0" collapsed="false">
      <c r="E15" s="28" t="s">
        <v>45</v>
      </c>
      <c r="F15" s="29" t="n">
        <f aca="false">SUM('Financial Data'!E5:E16)</f>
        <v>1192000</v>
      </c>
    </row>
  </sheetData>
  <mergeCells count="3">
    <mergeCell ref="B2:F2"/>
    <mergeCell ref="B4:C4"/>
    <mergeCell ref="E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15"/>
    <col collapsed="false" customWidth="true" hidden="false" outlineLevel="0" max="6" min="6" style="0" width="18"/>
    <col collapsed="false" customWidth="true" hidden="false" outlineLevel="0" max="7" min="7" style="0" width="15"/>
  </cols>
  <sheetData>
    <row r="2" customFormat="false" ht="30" hidden="false" customHeight="true" outlineLevel="0" collapsed="false">
      <c r="B2" s="11" t="s">
        <v>51</v>
      </c>
      <c r="C2" s="11"/>
      <c r="D2" s="11"/>
      <c r="E2" s="11"/>
      <c r="F2" s="11"/>
      <c r="G2" s="11"/>
    </row>
    <row r="4" customFormat="false" ht="24.75" hidden="false" customHeight="true" outlineLevel="0" collapsed="false">
      <c r="B4" s="21" t="s">
        <v>52</v>
      </c>
      <c r="C4" s="21"/>
      <c r="D4" s="21"/>
      <c r="E4" s="21"/>
      <c r="F4" s="21"/>
      <c r="G4" s="21"/>
    </row>
    <row r="6" customFormat="false" ht="15" hidden="false" customHeight="false" outlineLevel="0" collapsed="false">
      <c r="B6" s="7" t="s">
        <v>21</v>
      </c>
      <c r="C6" s="7" t="s">
        <v>53</v>
      </c>
      <c r="D6" s="7" t="s">
        <v>54</v>
      </c>
      <c r="E6" s="7" t="s">
        <v>6</v>
      </c>
      <c r="F6" s="7" t="s">
        <v>7</v>
      </c>
      <c r="G6" s="7" t="s">
        <v>55</v>
      </c>
    </row>
    <row r="7" customFormat="false" ht="15" hidden="false" customHeight="false" outlineLevel="0" collapsed="false">
      <c r="B7" s="13" t="str">
        <f aca="false">'Financial Data'!B5</f>
        <v>Jan 2024</v>
      </c>
      <c r="C7" s="29" t="n">
        <f aca="false">'Financial Data'!C5</f>
        <v>485000</v>
      </c>
      <c r="D7" s="30" t="s">
        <v>56</v>
      </c>
      <c r="E7" s="29" t="n">
        <f aca="false">'Financial Data'!G5</f>
        <v>109000</v>
      </c>
      <c r="F7" s="31" t="n">
        <f aca="false">'Financial Data'!G5/'Financial Data'!C5</f>
        <v>0.224742268041237</v>
      </c>
      <c r="G7" s="30" t="str">
        <f aca="false">IF(F7&gt;0.15,"Excellent",IF(F7&gt;0.12,"Good",IF(F7&gt;0.1,"Average","Below Target")))</f>
        <v>Excellent</v>
      </c>
    </row>
    <row r="8" customFormat="false" ht="15" hidden="false" customHeight="false" outlineLevel="0" collapsed="false">
      <c r="B8" s="13" t="str">
        <f aca="false">'Financial Data'!B6</f>
        <v>Feb 2024</v>
      </c>
      <c r="C8" s="29" t="n">
        <f aca="false">'Financial Data'!C6</f>
        <v>520000</v>
      </c>
      <c r="D8" s="31" t="n">
        <f aca="false">('Financial Data'!C6-'Financial Data'!C5)/'Financial Data'!C5</f>
        <v>0.0721649484536082</v>
      </c>
      <c r="E8" s="29" t="n">
        <f aca="false">'Financial Data'!G6</f>
        <v>120000</v>
      </c>
      <c r="F8" s="31" t="n">
        <f aca="false">'Financial Data'!G6/'Financial Data'!C6</f>
        <v>0.230769230769231</v>
      </c>
      <c r="G8" s="30" t="str">
        <f aca="false">IF(F8&gt;0.15,"Excellent",IF(F8&gt;0.12,"Good",IF(F8&gt;0.1,"Average","Below Target")))</f>
        <v>Excellent</v>
      </c>
    </row>
    <row r="9" customFormat="false" ht="15" hidden="false" customHeight="false" outlineLevel="0" collapsed="false">
      <c r="B9" s="13" t="str">
        <f aca="false">'Financial Data'!B7</f>
        <v>Mar 2024</v>
      </c>
      <c r="C9" s="29" t="n">
        <f aca="false">'Financial Data'!C7</f>
        <v>495000</v>
      </c>
      <c r="D9" s="31" t="n">
        <f aca="false">('Financial Data'!C7-'Financial Data'!C6)/'Financial Data'!C6</f>
        <v>-0.0480769230769231</v>
      </c>
      <c r="E9" s="29" t="n">
        <f aca="false">'Financial Data'!G7</f>
        <v>112000</v>
      </c>
      <c r="F9" s="31" t="n">
        <f aca="false">'Financial Data'!G7/'Financial Data'!C7</f>
        <v>0.226262626262626</v>
      </c>
      <c r="G9" s="30" t="str">
        <f aca="false">IF(F9&gt;0.15,"Excellent",IF(F9&gt;0.12,"Good",IF(F9&gt;0.1,"Average","Below Target")))</f>
        <v>Excellent</v>
      </c>
    </row>
    <row r="10" customFormat="false" ht="15" hidden="false" customHeight="false" outlineLevel="0" collapsed="false">
      <c r="B10" s="13" t="str">
        <f aca="false">'Financial Data'!B8</f>
        <v>Apr 2024</v>
      </c>
      <c r="C10" s="29" t="n">
        <f aca="false">'Financial Data'!C8</f>
        <v>580000</v>
      </c>
      <c r="D10" s="31" t="n">
        <f aca="false">('Financial Data'!C8-'Financial Data'!C7)/'Financial Data'!C7</f>
        <v>0.171717171717172</v>
      </c>
      <c r="E10" s="29" t="n">
        <f aca="false">'Financial Data'!G8</f>
        <v>140000</v>
      </c>
      <c r="F10" s="31" t="n">
        <f aca="false">'Financial Data'!G8/'Financial Data'!C8</f>
        <v>0.241379310344828</v>
      </c>
      <c r="G10" s="30" t="str">
        <f aca="false">IF(F10&gt;0.15,"Excellent",IF(F10&gt;0.12,"Good",IF(F10&gt;0.1,"Average","Below Target")))</f>
        <v>Excellent</v>
      </c>
    </row>
    <row r="11" customFormat="false" ht="15" hidden="false" customHeight="false" outlineLevel="0" collapsed="false">
      <c r="B11" s="13" t="str">
        <f aca="false">'Financial Data'!B9</f>
        <v>May 2024</v>
      </c>
      <c r="C11" s="29" t="n">
        <f aca="false">'Financial Data'!C9</f>
        <v>610000</v>
      </c>
      <c r="D11" s="31" t="n">
        <f aca="false">('Financial Data'!C9-'Financial Data'!C8)/'Financial Data'!C8</f>
        <v>0.0517241379310345</v>
      </c>
      <c r="E11" s="29" t="n">
        <f aca="false">'Financial Data'!G9</f>
        <v>149000</v>
      </c>
      <c r="F11" s="31" t="n">
        <f aca="false">'Financial Data'!G9/'Financial Data'!C9</f>
        <v>0.244262295081967</v>
      </c>
      <c r="G11" s="30" t="str">
        <f aca="false">IF(F11&gt;0.15,"Excellent",IF(F11&gt;0.12,"Good",IF(F11&gt;0.1,"Average","Below Target")))</f>
        <v>Excellent</v>
      </c>
    </row>
    <row r="12" customFormat="false" ht="15" hidden="false" customHeight="false" outlineLevel="0" collapsed="false">
      <c r="B12" s="13" t="str">
        <f aca="false">'Financial Data'!B10</f>
        <v>Jun 2024</v>
      </c>
      <c r="C12" s="29" t="n">
        <f aca="false">'Financial Data'!C10</f>
        <v>645000</v>
      </c>
      <c r="D12" s="31" t="n">
        <f aca="false">('Financial Data'!C10-'Financial Data'!C9)/'Financial Data'!C9</f>
        <v>0.0573770491803279</v>
      </c>
      <c r="E12" s="29" t="n">
        <f aca="false">'Financial Data'!G10</f>
        <v>160000</v>
      </c>
      <c r="F12" s="31" t="n">
        <f aca="false">'Financial Data'!G10/'Financial Data'!C10</f>
        <v>0.248062015503876</v>
      </c>
      <c r="G12" s="30" t="str">
        <f aca="false">IF(F12&gt;0.15,"Excellent",IF(F12&gt;0.12,"Good",IF(F12&gt;0.1,"Average","Below Target")))</f>
        <v>Excellent</v>
      </c>
    </row>
    <row r="13" customFormat="false" ht="15" hidden="false" customHeight="false" outlineLevel="0" collapsed="false">
      <c r="B13" s="13" t="str">
        <f aca="false">'Financial Data'!B11</f>
        <v>Jul 2024</v>
      </c>
      <c r="C13" s="29" t="n">
        <f aca="false">'Financial Data'!C11</f>
        <v>625000</v>
      </c>
      <c r="D13" s="31" t="n">
        <f aca="false">('Financial Data'!C11-'Financial Data'!C10)/'Financial Data'!C10</f>
        <v>-0.0310077519379845</v>
      </c>
      <c r="E13" s="29" t="n">
        <f aca="false">'Financial Data'!G11</f>
        <v>154000</v>
      </c>
      <c r="F13" s="31" t="n">
        <f aca="false">'Financial Data'!G11/'Financial Data'!C11</f>
        <v>0.2464</v>
      </c>
      <c r="G13" s="30" t="str">
        <f aca="false">IF(F13&gt;0.15,"Excellent",IF(F13&gt;0.12,"Good",IF(F13&gt;0.1,"Average","Below Target")))</f>
        <v>Excellent</v>
      </c>
    </row>
    <row r="14" customFormat="false" ht="15" hidden="false" customHeight="false" outlineLevel="0" collapsed="false">
      <c r="B14" s="13" t="str">
        <f aca="false">'Financial Data'!B12</f>
        <v>Aug 2024</v>
      </c>
      <c r="C14" s="29" t="n">
        <f aca="false">'Financial Data'!C12</f>
        <v>670000</v>
      </c>
      <c r="D14" s="31" t="n">
        <f aca="false">('Financial Data'!C12-'Financial Data'!C11)/'Financial Data'!C11</f>
        <v>0.072</v>
      </c>
      <c r="E14" s="29" t="n">
        <f aca="false">'Financial Data'!G12</f>
        <v>166000</v>
      </c>
      <c r="F14" s="31" t="n">
        <f aca="false">'Financial Data'!G12/'Financial Data'!C12</f>
        <v>0.247761194029851</v>
      </c>
      <c r="G14" s="30" t="str">
        <f aca="false">IF(F14&gt;0.15,"Excellent",IF(F14&gt;0.12,"Good",IF(F14&gt;0.1,"Average","Below Target")))</f>
        <v>Excellent</v>
      </c>
    </row>
    <row r="15" customFormat="false" ht="15" hidden="false" customHeight="false" outlineLevel="0" collapsed="false">
      <c r="B15" s="13" t="str">
        <f aca="false">'Financial Data'!B13</f>
        <v>Sep 2024</v>
      </c>
      <c r="C15" s="29" t="n">
        <f aca="false">'Financial Data'!C13</f>
        <v>695000</v>
      </c>
      <c r="D15" s="31" t="n">
        <f aca="false">('Financial Data'!C13-'Financial Data'!C12)/'Financial Data'!C12</f>
        <v>0.0373134328358209</v>
      </c>
      <c r="E15" s="29" t="n">
        <f aca="false">'Financial Data'!G13</f>
        <v>173000</v>
      </c>
      <c r="F15" s="31" t="n">
        <f aca="false">'Financial Data'!G13/'Financial Data'!C13</f>
        <v>0.248920863309353</v>
      </c>
      <c r="G15" s="30" t="str">
        <f aca="false">IF(F15&gt;0.15,"Excellent",IF(F15&gt;0.12,"Good",IF(F15&gt;0.1,"Average","Below Target")))</f>
        <v>Excellent</v>
      </c>
    </row>
    <row r="16" customFormat="false" ht="15" hidden="false" customHeight="false" outlineLevel="0" collapsed="false">
      <c r="B16" s="13" t="str">
        <f aca="false">'Financial Data'!B14</f>
        <v>Oct 2024</v>
      </c>
      <c r="C16" s="29" t="n">
        <f aca="false">'Financial Data'!C14</f>
        <v>720000</v>
      </c>
      <c r="D16" s="31" t="n">
        <f aca="false">('Financial Data'!C14-'Financial Data'!C13)/'Financial Data'!C13</f>
        <v>0.0359712230215827</v>
      </c>
      <c r="E16" s="29" t="n">
        <f aca="false">'Financial Data'!G14</f>
        <v>180000</v>
      </c>
      <c r="F16" s="31" t="n">
        <f aca="false">'Financial Data'!G14/'Financial Data'!C14</f>
        <v>0.25</v>
      </c>
      <c r="G16" s="30" t="str">
        <f aca="false">IF(F16&gt;0.15,"Excellent",IF(F16&gt;0.12,"Good",IF(F16&gt;0.1,"Average","Below Target")))</f>
        <v>Excellent</v>
      </c>
    </row>
    <row r="17" customFormat="false" ht="15" hidden="false" customHeight="false" outlineLevel="0" collapsed="false">
      <c r="B17" s="13" t="str">
        <f aca="false">'Financial Data'!B15</f>
        <v>Nov 2024</v>
      </c>
      <c r="C17" s="29" t="n">
        <f aca="false">'Financial Data'!C15</f>
        <v>750000</v>
      </c>
      <c r="D17" s="31" t="n">
        <f aca="false">('Financial Data'!C15-'Financial Data'!C14)/'Financial Data'!C14</f>
        <v>0.0416666666666667</v>
      </c>
      <c r="E17" s="29" t="n">
        <f aca="false">'Financial Data'!G15</f>
        <v>188000</v>
      </c>
      <c r="F17" s="31" t="n">
        <f aca="false">'Financial Data'!G15/'Financial Data'!C15</f>
        <v>0.250666666666667</v>
      </c>
      <c r="G17" s="30" t="str">
        <f aca="false">IF(F17&gt;0.15,"Excellent",IF(F17&gt;0.12,"Good",IF(F17&gt;0.1,"Average","Below Target")))</f>
        <v>Excellent</v>
      </c>
    </row>
    <row r="18" customFormat="false" ht="15" hidden="false" customHeight="false" outlineLevel="0" collapsed="false">
      <c r="B18" s="13" t="str">
        <f aca="false">'Financial Data'!B16</f>
        <v>Dec 2024</v>
      </c>
      <c r="C18" s="29" t="n">
        <f aca="false">'Financial Data'!C16</f>
        <v>820000</v>
      </c>
      <c r="D18" s="31" t="n">
        <f aca="false">('Financial Data'!C16-'Financial Data'!C15)/'Financial Data'!C15</f>
        <v>0.0933333333333333</v>
      </c>
      <c r="E18" s="29" t="n">
        <f aca="false">'Financial Data'!G16</f>
        <v>203000</v>
      </c>
      <c r="F18" s="31" t="n">
        <f aca="false">'Financial Data'!G16/'Financial Data'!C16</f>
        <v>0.247560975609756</v>
      </c>
      <c r="G18" s="30" t="str">
        <f aca="false">IF(F18&gt;0.15,"Excellent",IF(F18&gt;0.12,"Good",IF(F18&gt;0.1,"Average","Below Target")))</f>
        <v>Excellent</v>
      </c>
    </row>
    <row r="21" customFormat="false" ht="24.75" hidden="false" customHeight="true" outlineLevel="0" collapsed="false">
      <c r="B21" s="21" t="s">
        <v>57</v>
      </c>
      <c r="C21" s="21"/>
      <c r="D21" s="21"/>
      <c r="E21" s="21"/>
      <c r="F21" s="21"/>
      <c r="G21" s="21"/>
    </row>
    <row r="23" customFormat="false" ht="15" hidden="false" customHeight="false" outlineLevel="0" collapsed="false">
      <c r="B23" s="32" t="s">
        <v>58</v>
      </c>
      <c r="C23" s="33" t="str">
        <f aca="false">INDEX('Financial Data'!B5:B16,MATCH(MAX('Financial Data'!C5:C16),'Financial Data'!C5:C16,0))</f>
        <v>Dec 2024</v>
      </c>
      <c r="D23" s="33"/>
    </row>
    <row r="24" customFormat="false" ht="15" hidden="false" customHeight="false" outlineLevel="0" collapsed="false">
      <c r="B24" s="32" t="s">
        <v>59</v>
      </c>
      <c r="C24" s="34" t="n">
        <f aca="false">MAX('Financial Data'!C5:C16)</f>
        <v>820000</v>
      </c>
      <c r="D24" s="34"/>
    </row>
    <row r="25" customFormat="false" ht="15" hidden="false" customHeight="false" outlineLevel="0" collapsed="false">
      <c r="B25" s="32" t="s">
        <v>60</v>
      </c>
      <c r="C25" s="33" t="str">
        <f aca="false">INDEX('Financial Data'!B5:B16,MATCH(MIN('Financial Data'!C5:C16),'Financial Data'!C5:C16,0))</f>
        <v>Jan 2024</v>
      </c>
      <c r="D25" s="33"/>
    </row>
    <row r="26" customFormat="false" ht="15" hidden="false" customHeight="false" outlineLevel="0" collapsed="false">
      <c r="B26" s="32" t="s">
        <v>61</v>
      </c>
      <c r="C26" s="34" t="n">
        <f aca="false">MIN('Financial Data'!C5:C16)</f>
        <v>485000</v>
      </c>
      <c r="D26" s="34"/>
    </row>
    <row r="27" customFormat="false" ht="15" hidden="false" customHeight="false" outlineLevel="0" collapsed="false">
      <c r="B27" s="32" t="s">
        <v>62</v>
      </c>
      <c r="C27" s="35" t="n">
        <f aca="false">AVERAGE(D8:D18)</f>
        <v>0.0503802989204217</v>
      </c>
      <c r="D27" s="35"/>
    </row>
    <row r="28" customFormat="false" ht="15" hidden="false" customHeight="false" outlineLevel="0" collapsed="false">
      <c r="B28" s="32" t="s">
        <v>63</v>
      </c>
      <c r="C28" s="35" t="n">
        <f aca="false">MAX(F7:F18)</f>
        <v>0.250666666666667</v>
      </c>
      <c r="D28" s="35"/>
    </row>
    <row r="31" customFormat="false" ht="24.75" hidden="false" customHeight="true" outlineLevel="0" collapsed="false">
      <c r="B31" s="21" t="s">
        <v>64</v>
      </c>
      <c r="C31" s="21"/>
      <c r="D31" s="21"/>
      <c r="E31" s="21"/>
      <c r="F31" s="21"/>
      <c r="G31" s="21"/>
    </row>
    <row r="33" customFormat="false" ht="15" hidden="false" customHeight="false" outlineLevel="0" collapsed="false">
      <c r="B33" s="7" t="s">
        <v>65</v>
      </c>
      <c r="C33" s="7" t="s">
        <v>66</v>
      </c>
    </row>
    <row r="34" customFormat="false" ht="15" hidden="false" customHeight="false" outlineLevel="0" collapsed="false">
      <c r="B34" s="22" t="s">
        <v>4</v>
      </c>
      <c r="C34" s="36" t="n">
        <f aca="false">SUM('Financial Data'!C5:C16)</f>
        <v>7615000</v>
      </c>
    </row>
    <row r="35" customFormat="false" ht="15" hidden="false" customHeight="false" outlineLevel="0" collapsed="false">
      <c r="B35" s="22" t="s">
        <v>5</v>
      </c>
      <c r="C35" s="36" t="n">
        <f aca="false">SUM('Financial Data'!D5:D16)+SUM('Financial Data'!E5:E16)</f>
        <v>5761000</v>
      </c>
    </row>
    <row r="36" customFormat="false" ht="15" hidden="false" customHeight="false" outlineLevel="0" collapsed="false">
      <c r="B36" s="22" t="s">
        <v>67</v>
      </c>
      <c r="C36" s="36" t="n">
        <f aca="false">SUM('Financial Data'!G5:G16)</f>
        <v>1854000</v>
      </c>
    </row>
    <row r="37" customFormat="false" ht="15" hidden="false" customHeight="false" outlineLevel="0" collapsed="false">
      <c r="B37" s="22" t="s">
        <v>68</v>
      </c>
      <c r="C37" s="36" t="n">
        <f aca="false">AVERAGE('Financial Data'!C5:C16)</f>
        <v>634583.333333333</v>
      </c>
    </row>
    <row r="38" customFormat="false" ht="15" hidden="false" customHeight="false" outlineLevel="0" collapsed="false">
      <c r="B38" s="22" t="s">
        <v>69</v>
      </c>
      <c r="C38" s="36" t="n">
        <f aca="false">STDEV('Financial Data'!C5:C16)</f>
        <v>103867.449038171</v>
      </c>
    </row>
    <row r="39" customFormat="false" ht="15" hidden="false" customHeight="false" outlineLevel="0" collapsed="false">
      <c r="B39" s="22" t="s">
        <v>70</v>
      </c>
      <c r="C39" s="37" t="n">
        <f aca="false">SUM('Financial Data'!G5:G16)/SUM('Financial Data'!C5:C16)</f>
        <v>0.243466841759685</v>
      </c>
    </row>
  </sheetData>
  <mergeCells count="10">
    <mergeCell ref="B2:G2"/>
    <mergeCell ref="B4:G4"/>
    <mergeCell ref="B21:G21"/>
    <mergeCell ref="C23:D23"/>
    <mergeCell ref="C24:D24"/>
    <mergeCell ref="C25:D25"/>
    <mergeCell ref="C26:D26"/>
    <mergeCell ref="C27:D27"/>
    <mergeCell ref="C28:D28"/>
    <mergeCell ref="B31:G31"/>
  </mergeCells>
  <conditionalFormatting sqref="F7:F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2026-02-20T07:48:44Z</dcterms:created>
  <dc:creator>openpyxl</dc:creator>
  <dc:description/>
  <dc:language>en-US</dc:language>
  <cp:lastModifiedBy/>
  <dcterms:modified xsi:type="dcterms:W3CDTF">2026-02-20T15:51:09Z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